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4cf4b6074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Cover" sheetId="1" r:id="R06f61a57c57b4c62"/>
    <x:sheet xmlns:r="http://schemas.openxmlformats.org/officeDocument/2006/relationships" name="Materials Register" sheetId="2" r:id="Rc04d6c258fd5422a"/>
    <x:sheet xmlns:r="http://schemas.openxmlformats.org/officeDocument/2006/relationships" name="Services &amp; Bundles" sheetId="3" r:id="Rcb2e09c1ea8347f0"/>
    <x:sheet xmlns:r="http://schemas.openxmlformats.org/officeDocument/2006/relationships" name="Terms and Notes" sheetId="4" r:id="Rf3f20c36cf35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₱#,##0.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4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5" xfId="0" applyNumberFormat="1" applyFont="1" applyFill="1" applyBorder="1" applyAlignment="1">
      <x:alignment horizontal="center" wrapText="1"/>
    </x:xf>
    <x:xf numFmtId="0" fontId="2" fillId="4" borderId="6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horizontal="center" wrapText="1"/>
    </x:xf>
    <x:xf numFmtId="0" fontId="2" fillId="4" borderId="8" xfId="0" applyNumberFormat="1" applyFont="1" applyFill="1" applyBorder="1" applyAlignment="1">
      <x:alignment horizontal="center" wrapText="1"/>
    </x:xf>
    <x:xf numFmtId="0" fontId="2" fillId="4" borderId="9" xfId="0" applyNumberFormat="1" applyFont="1" applyFill="1" applyBorder="1" applyAlignment="1">
      <x:alignment horizont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right"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1" fontId="4" fillId="0" borderId="0" xfId="0" applyNumberFormat="1" applyFont="1" applyFill="1" applyBorder="1" applyAlignment="1">
      <x:alignment horizontal="right" vertical="top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27031b83c465f" /><Relationship Type="http://schemas.openxmlformats.org/officeDocument/2006/relationships/theme" Target="/xl/theme/theme1.xml" Id="R8548e4d28a224d91" /><Relationship Type="http://schemas.openxmlformats.org/officeDocument/2006/relationships/sharedStrings" Target="/xl/sharedStrings.xml" Id="Rd6e078ecd269429d" /><Relationship Type="http://schemas.openxmlformats.org/officeDocument/2006/relationships/worksheet" Target="/xl/worksheets/sheet1.xml" Id="R06f61a57c57b4c62" /><Relationship Type="http://schemas.openxmlformats.org/officeDocument/2006/relationships/worksheet" Target="/xl/worksheets/sheet2.xml" Id="Rc04d6c258fd5422a" /><Relationship Type="http://schemas.openxmlformats.org/officeDocument/2006/relationships/worksheet" Target="/xl/worksheets/sheet3.xml" Id="Rcb2e09c1ea8347f0" /><Relationship Type="http://schemas.openxmlformats.org/officeDocument/2006/relationships/worksheet" Target="/xl/worksheets/sheet4.xml" Id="Rf3f20c36cf35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28" customHeight="1">
      <x:c r="A1" s="67" t="str">
        <x:v>ARNAIZ RESIDENCE — COMPLETED PROJECT PURCHASE MEMORY</x:v>
      </x:c>
      <x:c r="B1" s="67"/>
      <x:c r="C1" s="67"/>
      <x:c r="D1" s="67"/>
      <x:c r="E1" s="67"/>
      <x:c r="F1" s="67"/>
    </x:row>
    <x:row r="2">
      <x:c r="A2" s="52"/>
      <x:c r="B2" s="52"/>
      <x:c r="C2" s="52"/>
      <x:c r="D2" s="52"/>
      <x:c r="E2" s="52"/>
      <x:c r="F2" s="52"/>
    </x:row>
    <x:row r="3" ht="15" hidden="0" customHeight="1">
      <x:c r="A3" s="53" t="str">
        <x:v>Project status</x:v>
      </x:c>
      <x:c r="B3" s="54" t="str">
        <x:v>Completed</x:v>
      </x:c>
      <x:c r="C3" s="52"/>
      <x:c r="D3" s="52"/>
      <x:c r="E3" s="52"/>
      <x:c r="F3" s="52"/>
    </x:row>
    <x:row r="4" ht="15" hidden="0" customHeight="1">
      <x:c r="A4" s="53" t="str">
        <x:v>Contractor Assigned</x:v>
      </x:c>
      <x:c r="B4" s="54" t="str">
        <x:v>Arnaiz Builders</x:v>
      </x:c>
      <x:c r="C4" s="52"/>
      <x:c r="D4" s="52"/>
      <x:c r="E4" s="52"/>
      <x:c r="F4" s="52"/>
    </x:row>
    <x:row r="5" ht="15" hidden="0" customHeight="1">
      <x:c r="A5" s="53" t="str">
        <x:v>Client</x:v>
      </x:c>
      <x:c r="B5" s="54" t="str">
        <x:v>Arnaiz Family</x:v>
      </x:c>
      <x:c r="C5" s="52"/>
      <x:c r="D5" s="52"/>
      <x:c r="E5" s="52"/>
      <x:c r="F5" s="52"/>
    </x:row>
    <x:row r="6" ht="15" hidden="0" customHeight="1">
      <x:c r="A6" s="53" t="str">
        <x:v>Currency default</x:v>
      </x:c>
      <x:c r="B6" s="54" t="str">
        <x:v>PHP</x:v>
      </x:c>
      <x:c r="C6" s="52"/>
      <x:c r="D6" s="52"/>
      <x:c r="E6" s="52"/>
      <x:c r="F6" s="52"/>
    </x:row>
    <x:row r="7" ht="15" hidden="0" customHeight="1">
      <x:c r="A7" s="53" t="str">
        <x:v>Evidence rule</x:v>
      </x:c>
      <x:c r="B7" s="54" t="str">
        <x:v>Final/as-used unless a row says otherwise</x:v>
      </x:c>
      <x:c r="C7" s="52"/>
      <x:c r="D7" s="52"/>
      <x:c r="E7" s="52"/>
      <x:c r="F7" s="52"/>
    </x:row>
    <x:row r="8" ht="15" hidden="0" customHeight="1">
      <x:c r="A8" s="53" t="str">
        <x:v>Cross-sheet provider context</x:v>
      </x:c>
      <x:c r="B8" s="54" t="str">
        <x:v>Our own crew means Arnaiz Builders and is Internal</x:v>
      </x:c>
      <x:c r="C8" s="52"/>
      <x:c r="D8" s="52"/>
      <x:c r="E8" s="52"/>
      <x:c r="F8" s="52"/>
    </x:row>
    <x:row r="9" ht="15" hidden="0" customHeight="1">
      <x:c r="A9" s="53" t="str">
        <x:v>Workflow noise</x:v>
      </x:c>
      <x:c r="B9" s="54" t="str">
        <x:v>For approval. Follow up with Mario.</x:v>
      </x:c>
      <x:c r="C9" s="52"/>
      <x:c r="D9" s="52"/>
      <x:c r="E9" s="52"/>
      <x:c r="F9" s="5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55" hidden="0" customWidth="1"/>
  </x:cols>
  <x:sheetData>
    <x:row r="1" ht="28" customHeight="1">
      <x:c r="A1" s="67" t="str">
        <x:v>FINAL MATERIAL PURCHASE REGISTER</x:v>
      </x:c>
      <x:c r="B1" s="67"/>
      <x:c r="C1" s="67"/>
      <x:c r="D1" s="67"/>
      <x:c r="E1" s="67"/>
      <x:c r="F1" s="67"/>
      <x:c r="G1" s="67"/>
      <x:c r="H1" s="67"/>
    </x:row>
    <x:row r="2" ht="15" hidden="0" customHeight="1">
      <x:c r="A2" s="55" t="str">
        <x:v>Status</x:v>
      </x:c>
      <x:c r="B2" s="56" t="str">
        <x:v>Material identity</x:v>
      </x:c>
      <x:c r="C2" s="56"/>
      <x:c r="D2" s="56" t="str">
        <x:v>Commercial quantity</x:v>
      </x:c>
      <x:c r="E2" s="56"/>
      <x:c r="F2" s="56" t="str">
        <x:v>Pricing (PHP)</x:v>
      </x:c>
      <x:c r="G2" s="56"/>
      <x:c r="H2" s="57" t="str">
        <x:v>Provider / notes</x:v>
      </x:c>
    </x:row>
    <x:row r="3" ht="15" hidden="0" customHeight="1">
      <x:c r="A3" s="58"/>
      <x:c r="B3" s="59" t="str">
        <x:v>Observed material</x:v>
      </x:c>
      <x:c r="C3" s="59" t="str">
        <x:v>Category path</x:v>
      </x:c>
      <x:c r="D3" s="59" t="str">
        <x:v>Qty</x:v>
      </x:c>
      <x:c r="E3" s="59" t="str">
        <x:v>Unit</x:v>
      </x:c>
      <x:c r="F3" s="59" t="str">
        <x:v>Unit price</x:v>
      </x:c>
      <x:c r="G3" s="59" t="str">
        <x:v>Final total</x:v>
      </x:c>
      <x:c r="H3" s="60"/>
    </x:row>
    <x:row r="4" ht="15" hidden="0" customHeight="1">
      <x:c r="A4" s="54" t="str">
        <x:v>Final purchase</x:v>
      </x:c>
      <x:c r="B4" s="54" t="str">
        <x:v>100 mm PVC pressure pipes</x:v>
      </x:c>
      <x:c r="C4" s="54" t="str">
        <x:v>Plumbing / Pipes</x:v>
      </x:c>
      <x:c r="D4" s="61" t="n">
        <x:v>20</x:v>
      </x:c>
      <x:c r="E4" s="62" t="str">
        <x:v>lengths</x:v>
      </x:c>
      <x:c r="F4" s="63" t="n">
        <x:v>1625</x:v>
      </x:c>
      <x:c r="G4" s="63" t="n">
        <x:f>D4*F4</x:f>
        <x:v>32500</x:v>
      </x:c>
      <x:c r="H4" s="54" t="str">
        <x:v>BuildMart Trading; immediate warehouse release</x:v>
      </x:c>
    </x:row>
    <x:row r="5" ht="15" hidden="0" customHeight="1">
      <x:c r="A5" s="54" t="str">
        <x:v>Final purchase</x:v>
      </x:c>
      <x:c r="B5" s="54" t="str">
        <x:v>16 mm Grade 60 deformed reinforcing bars</x:v>
      </x:c>
      <x:c r="C5" s="54" t="str">
        <x:v>Civil / Reinforcing Steel</x:v>
      </x:c>
      <x:c r="D5" s="61" t="n">
        <x:v>24</x:v>
      </x:c>
      <x:c r="E5" s="62" t="str">
        <x:v>lengths</x:v>
      </x:c>
      <x:c r="F5" s="63" t="n">
        <x:v>1200</x:v>
      </x:c>
      <x:c r="G5" s="63" t="n">
        <x:v>28800</x:v>
      </x:c>
      <x:c r="H5" s="54" t="str">
        <x:v>MetroSteel</x:v>
      </x:c>
    </x:row>
    <x:row r="6" ht="15" hidden="0" customHeight="1">
      <x:c r="A6" s="54" t="str">
        <x:v>Bought</x:v>
      </x:c>
      <x:c r="B6" s="54" t="str">
        <x:v>Non-shrink grout</x:v>
      </x:c>
      <x:c r="C6" s="54" t="str">
        <x:v>Civil / Grouting Materials</x:v>
      </x:c>
      <x:c r="D6" s="61" t="n">
        <x:v>10</x:v>
      </x:c>
      <x:c r="E6" s="62" t="str">
        <x:v>bags</x:v>
      </x:c>
      <x:c r="F6" s="63" t="n">
        <x:v>850</x:v>
      </x:c>
      <x:c r="G6" s="63" t="n">
        <x:v>8500</x:v>
      </x:c>
      <x:c r="H6" s="54" t="str">
        <x:v>Supplier not recorded; store bags dry and covered</x:v>
      </x:c>
    </x:row>
    <x:row r="7" ht="26.399999618530273" hidden="0" customHeight="1">
      <x:c r="A7" s="54" t="str">
        <x:v>PRELIMINARY QUOTE — not selected</x:v>
      </x:c>
      <x:c r="B7" s="54" t="str">
        <x:v>Gypsum ceiling boards</x:v>
      </x:c>
      <x:c r="C7" s="54" t="str">
        <x:v>Architectural / Ceiling Materials</x:v>
      </x:c>
      <x:c r="D7" s="61" t="n">
        <x:v>50</x:v>
      </x:c>
      <x:c r="E7" s="62" t="str">
        <x:v>sheets</x:v>
      </x:c>
      <x:c r="F7" s="63" t="n">
        <x:v>450</x:v>
      </x:c>
      <x:c r="G7" s="63" t="n">
        <x:v>22500</x:v>
      </x:c>
      <x:c r="H7" s="54" t="str">
        <x:v>TBD</x:v>
      </x:c>
    </x:row>
  </x:sheetData>
  <x:mergeCells>
    <x:mergeCell ref="A1:H1"/>
    <x:mergeCell ref="A2:A3"/>
    <x:mergeCell ref="B2:C2"/>
    <x:mergeCell ref="D2:E2"/>
    <x:mergeCell ref="F2:G2"/>
    <x:mergeCell ref="H2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36" hidden="0" customWidth="1"/>
    <x:col min="4" max="4" width="65" hidden="0" customWidth="1"/>
    <x:col min="5" max="5" width="10" hidden="0" customWidth="1"/>
    <x:col min="6" max="6" width="14" hidden="0" customWidth="1"/>
    <x:col min="7" max="7" width="16" hidden="0" customWidth="1"/>
    <x:col min="8" max="8" width="34" hidden="0" customWidth="1"/>
    <x:col min="9" max="9" width="85" hidden="0" customWidth="1"/>
  </x:cols>
  <x:sheetData>
    <x:row r="1" ht="28" customHeight="1">
      <x:c r="A1" s="67" t="str">
        <x:v>COMPLETED SERVICES AND COMMERCIAL PACKAGES</x:v>
      </x:c>
      <x:c r="B1" s="67"/>
      <x:c r="C1" s="67"/>
      <x:c r="D1" s="67"/>
      <x:c r="E1" s="67"/>
      <x:c r="F1" s="67"/>
      <x:c r="G1" s="67"/>
      <x:c r="H1" s="67"/>
      <x:c r="I1" s="67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</x:row>
    <x:row r="3" ht="15" hidden="0" customHeight="1">
      <x:c r="A3" s="64" t="str">
        <x:v>Status</x:v>
      </x:c>
      <x:c r="B3" s="65" t="str">
        <x:v>Observed item / work</x:v>
      </x:c>
      <x:c r="C3" s="65" t="str">
        <x:v>Kind</x:v>
      </x:c>
      <x:c r="D3" s="65" t="str">
        <x:v>Category path</x:v>
      </x:c>
      <x:c r="E3" s="65" t="str">
        <x:v>Qty</x:v>
      </x:c>
      <x:c r="F3" s="65" t="str">
        <x:v>Unit</x:v>
      </x:c>
      <x:c r="G3" s="65" t="str">
        <x:v>Total PHP</x:v>
      </x:c>
      <x:c r="H3" s="65" t="str">
        <x:v>Provider wording</x:v>
      </x:c>
      <x:c r="I3" s="66" t="str">
        <x:v>Terms / exclusions</x:v>
      </x:c>
    </x:row>
    <x:row r="4" ht="26.399999618530273" hidden="0" customHeight="1">
      <x:c r="A4" s="54" t="str">
        <x:v>Supplied, installed, tested and commissioned</x:v>
      </x:c>
      <x:c r="B4" s="54" t="str">
        <x:v>One Daikin split-type air-conditioning package including installation</x:v>
      </x:c>
      <x:c r="C4" s="54" t="str">
        <x:v>Material + installation service bundle</x:v>
      </x:c>
      <x:c r="D4" s="54" t="str">
        <x:v>Electrical / Air Conditioning Equipment; Services / Air Conditioning Installation</x:v>
      </x:c>
      <x:c r="E4" s="61" t="n">
        <x:v>1</x:v>
      </x:c>
      <x:c r="F4" s="62" t="str">
        <x:v>package</x:v>
      </x:c>
      <x:c r="G4" s="63" t="n">
        <x:v>120000</x:v>
      </x:c>
      <x:c r="H4" s="54" t="str">
        <x:v>CoolAir Mechanical Services</x:v>
      </x:c>
      <x:c r="I4" s="54" t="str">
        <x:v>50% down, balance after testing; five-year compressor warranty; one-year workmanship warranty; feeder wiring beyond five metres excluded</x:v>
      </x:c>
    </x:row>
    <x:row r="5" ht="15" hidden="0" customHeight="1">
      <x:c r="A5" s="54" t="str">
        <x:v>Completed</x:v>
      </x:c>
      <x:c r="B5" s="54" t="str">
        <x:v>Final site cleanup</x:v>
      </x:c>
      <x:c r="C5" s="54" t="str">
        <x:v>Service</x:v>
      </x:c>
      <x:c r="D5" s="54" t="str">
        <x:v>Services / Site Cleanup</x:v>
      </x:c>
      <x:c r="E5" s="61" t="n">
        <x:v>1</x:v>
      </x:c>
      <x:c r="F5" s="62" t="str">
        <x:v>job</x:v>
      </x:c>
      <x:c r="G5" s="63" t="n">
        <x:v>18000</x:v>
      </x:c>
      <x:c r="H5" s="54" t="str">
        <x:v>Our own crew</x:v>
      </x:c>
      <x:c r="I5" s="54" t="str">
        <x:v>Hazardous-waste hauling and disposal excluded; weekdays only</x:v>
      </x:c>
    </x:row>
    <x:row r="6" ht="15" hidden="0" customHeight="1">
      <x:c r="A6" s="54" t="str">
        <x:v>Completed</x:v>
      </x:c>
      <x:c r="B6" s="54" t="str">
        <x:v>Final pressure testing of domestic water lines</x:v>
      </x:c>
      <x:c r="C6" s="54" t="str">
        <x:v>Service</x:v>
      </x:c>
      <x:c r="D6" s="54" t="str">
        <x:v>Services / Testing and Commissioning</x:v>
      </x:c>
      <x:c r="E6" s="61" t="n">
        <x:v>1</x:v>
      </x:c>
      <x:c r="F6" s="62" t="str">
        <x:v>job</x:v>
      </x:c>
      <x:c r="G6" s="63" t="n">
        <x:v>9000</x:v>
      </x:c>
      <x:c r="H6" s="54" t="str">
        <x:v>Arnaiz Builders crew</x:v>
      </x:c>
      <x:c r="I6" s="54"/>
    </x:row>
    <x:row r="7" ht="15" hidden="0" customHeight="1">
      <x:c r="A7" s="54" t="str">
        <x:v>Possible future item — not purchased</x:v>
      </x:c>
      <x:c r="B7" s="54" t="str">
        <x:v>Ceiling installation</x:v>
      </x:c>
      <x:c r="C7" s="54" t="str">
        <x:v>Service</x:v>
      </x:c>
      <x:c r="D7" s="54" t="str">
        <x:v>Services / Ceiling Installation</x:v>
      </x:c>
      <x:c r="E7" s="61"/>
      <x:c r="F7" s="62"/>
      <x:c r="G7" s="63"/>
      <x:c r="H7" s="54"/>
      <x:c r="I7" s="54" t="str">
        <x:v>Do not treat as final/as-used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75" hidden="0" customWidth="1"/>
    <x:col min="4" max="4" width="40" hidden="0" customWidth="1"/>
  </x:cols>
  <x:sheetData>
    <x:row r="1" ht="28" customHeight="1">
      <x:c r="A1" s="67" t="str">
        <x:v>SHARED PURCHASE TERMS AND SOURCE NOTES</x:v>
      </x:c>
      <x:c r="B1" s="67"/>
      <x:c r="C1" s="67"/>
      <x:c r="D1" s="67"/>
    </x:row>
    <x:row r="2" ht="15" hidden="0" customHeight="1">
      <x:c r="A2" s="64" t="str">
        <x:v>Applies to</x:v>
      </x:c>
      <x:c r="B2" s="65" t="str">
        <x:v>Type</x:v>
      </x:c>
      <x:c r="C2" s="65" t="str">
        <x:v>Exact source wording</x:v>
      </x:c>
      <x:c r="D2" s="66" t="str">
        <x:v>Disposition hint</x:v>
      </x:c>
    </x:row>
    <x:row r="3" ht="15" hidden="0" customHeight="1">
      <x:c r="A3" s="54" t="str">
        <x:v>CoolAir package</x:v>
      </x:c>
      <x:c r="B3" s="54" t="str">
        <x:v>Delivery</x:v>
      </x:c>
      <x:c r="C3" s="54" t="str">
        <x:v>Delivery and unloading included</x:v>
      </x:c>
      <x:c r="D3" s="54" t="str">
        <x:v>Supports the bundled Purchase Line</x:v>
      </x:c>
    </x:row>
    <x:row r="4" ht="15" hidden="0" customHeight="1">
      <x:c r="A4" s="54" t="str">
        <x:v>CoolAir package</x:v>
      </x:c>
      <x:c r="B4" s="54" t="str">
        <x:v>Validity</x:v>
      </x:c>
      <x:c r="C4" s="54" t="str">
        <x:v>Price valid 30 calendar days</x:v>
      </x:c>
      <x:c r="D4" s="54" t="str">
        <x:v>Evidence Annotation</x:v>
      </x:c>
    </x:row>
    <x:row r="5" ht="15" hidden="0" customHeight="1">
      <x:c r="A5" s="54" t="str">
        <x:v>CoolAir package</x:v>
      </x:c>
      <x:c r="B5" s="54" t="str">
        <x:v>Availability</x:v>
      </x:c>
      <x:c r="C5" s="54" t="str">
        <x:v>Units from local stock</x:v>
      </x:c>
      <x:c r="D5" s="54" t="str">
        <x:v>Evidence Annotation</x:v>
      </x:c>
    </x:row>
    <x:row r="6" ht="15" hidden="0" customHeight="1">
      <x:c r="A6" s="54" t="str">
        <x:v>BuildMart PVC purchase</x:v>
      </x:c>
      <x:c r="B6" s="54" t="str">
        <x:v>Condition</x:v>
      </x:c>
      <x:c r="C6" s="54" t="str">
        <x:v>Returns only for unopened, undamaged bundles within seven days</x:v>
      </x:c>
      <x:c r="D6" s="54" t="str">
        <x:v>Evidence Annotation</x:v>
      </x:c>
    </x:row>
    <x:row r="7" ht="15" hidden="0" customHeight="1">
      <x:c r="A7" s="54" t="str">
        <x:v>Non-shrink grout</x:v>
      </x:c>
      <x:c r="B7" s="54" t="str">
        <x:v>Availability</x:v>
      </x:c>
      <x:c r="C7" s="54" t="str">
        <x:v>Same-day pickup</x:v>
      </x:c>
      <x:c r="D7" s="54" t="str">
        <x:v>Evidence Annotation</x:v>
      </x:c>
    </x:row>
    <x:row r="8" ht="15" hidden="0" customHeight="1">
      <x:c r="A8" s="54" t="str">
        <x:v>No Purchase Line</x:v>
      </x:c>
      <x:c r="B8" s="54" t="str">
        <x:v>Workflow</x:v>
      </x:c>
      <x:c r="C8" s="54" t="str">
        <x:v>Invoice marked paid. Supplier field: TBD.</x:v>
      </x:c>
      <x:c r="D8" s="54" t="str">
        <x:v>Exclude workflow noise</x:v>
      </x:c>
    </x:row>
  </x:sheetData>
  <x:mergeCells>
    <x:mergeCell ref="A1:D1"/>
  </x:mergeCells>
  <x:pageMargins left="0.7" right="0.7" top="0.75" bottom="0.75" header="0.3" footer="0.3"/>
</x:worksheet>
</file>